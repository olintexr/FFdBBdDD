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659133e65771de/Desktop/FFdBBdDD/"/>
    </mc:Choice>
  </mc:AlternateContent>
  <xr:revisionPtr revIDLastSave="0" documentId="8_{C3160D83-C520-4DE9-A026-BA67E57E5540}" xr6:coauthVersionLast="47" xr6:coauthVersionMax="47" xr10:uidLastSave="{00000000-0000-0000-0000-000000000000}"/>
  <bookViews>
    <workbookView xWindow="-108" yWindow="-108" windowWidth="23256" windowHeight="14616" xr2:uid="{7A1943C9-0BAF-44DB-B6CF-02C62E4D6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4" i="1" l="1"/>
  <c r="I23" i="1"/>
  <c r="G23" i="1"/>
  <c r="K15" i="1"/>
  <c r="K12" i="1"/>
  <c r="B21" i="1"/>
  <c r="N18" i="1"/>
  <c r="M18" i="1"/>
  <c r="P25" i="1"/>
  <c r="N17" i="1"/>
  <c r="N16" i="1"/>
  <c r="M17" i="1"/>
  <c r="M16" i="1"/>
  <c r="N15" i="1"/>
  <c r="N13" i="1"/>
  <c r="N14" i="1" s="1"/>
  <c r="M14" i="1"/>
  <c r="M15" i="1"/>
  <c r="M13" i="1"/>
  <c r="P22" i="1"/>
  <c r="P23" i="1"/>
  <c r="P24" i="1"/>
  <c r="P21" i="1"/>
  <c r="M12" i="1"/>
  <c r="B19" i="1" s="1"/>
  <c r="N12" i="1"/>
  <c r="B20" i="1" s="1"/>
  <c r="I22" i="1"/>
  <c r="I21" i="1"/>
  <c r="I20" i="1"/>
  <c r="I19" i="1"/>
  <c r="H21" i="1"/>
  <c r="H20" i="1"/>
  <c r="H19" i="1"/>
  <c r="G20" i="1"/>
  <c r="G21" i="1" s="1"/>
  <c r="G22" i="1" s="1"/>
  <c r="J14" i="1"/>
  <c r="J15" i="1"/>
  <c r="J16" i="1"/>
  <c r="J13" i="1"/>
</calcChain>
</file>

<file path=xl/sharedStrings.xml><?xml version="1.0" encoding="utf-8"?>
<sst xmlns="http://schemas.openxmlformats.org/spreadsheetml/2006/main" count="210" uniqueCount="109">
  <si>
    <t>Persona</t>
  </si>
  <si>
    <t>Cédula</t>
  </si>
  <si>
    <t>Nombre</t>
  </si>
  <si>
    <t>Dirección</t>
  </si>
  <si>
    <t>Teléfono</t>
  </si>
  <si>
    <t>Apellido</t>
  </si>
  <si>
    <t>Factura</t>
  </si>
  <si>
    <t>Fecha</t>
  </si>
  <si>
    <t>Producto</t>
  </si>
  <si>
    <t>Descripción</t>
  </si>
  <si>
    <t>Costo</t>
  </si>
  <si>
    <t>Precio</t>
  </si>
  <si>
    <t>Sucursal</t>
  </si>
  <si>
    <t>Entidad</t>
  </si>
  <si>
    <t>Fin</t>
  </si>
  <si>
    <t>n</t>
  </si>
  <si>
    <t>Dominante</t>
  </si>
  <si>
    <t>Fuerte</t>
  </si>
  <si>
    <t>Dominada</t>
  </si>
  <si>
    <t>Débil</t>
  </si>
  <si>
    <t>Independiente</t>
  </si>
  <si>
    <t>Dependiente</t>
  </si>
  <si>
    <t>Maurend</t>
  </si>
  <si>
    <t>Diego</t>
  </si>
  <si>
    <t>Héctor</t>
  </si>
  <si>
    <t>Águeda</t>
  </si>
  <si>
    <t>Bravo</t>
  </si>
  <si>
    <t>Mayor</t>
  </si>
  <si>
    <t>Manzano</t>
  </si>
  <si>
    <t>Cortés</t>
  </si>
  <si>
    <t>Calle 51…</t>
  </si>
  <si>
    <t>Avenda 25…</t>
  </si>
  <si>
    <t>Edificio…</t>
  </si>
  <si>
    <t>Cédula *</t>
  </si>
  <si>
    <t>Campoamor</t>
  </si>
  <si>
    <t>El Rosal</t>
  </si>
  <si>
    <t>La rebaja</t>
  </si>
  <si>
    <t>Bella Vista…</t>
  </si>
  <si>
    <t>La Paragua…</t>
  </si>
  <si>
    <t>5 de Julio…</t>
  </si>
  <si>
    <t>C2…</t>
  </si>
  <si>
    <t>(Producto+Factura)</t>
  </si>
  <si>
    <t>Factura *</t>
  </si>
  <si>
    <t>P001</t>
  </si>
  <si>
    <t>P099</t>
  </si>
  <si>
    <t>P055</t>
  </si>
  <si>
    <t>P567</t>
  </si>
  <si>
    <t>Cebolla</t>
  </si>
  <si>
    <t>Tomate</t>
  </si>
  <si>
    <t>Papas</t>
  </si>
  <si>
    <t>Queso</t>
  </si>
  <si>
    <t>Cebolla por kilo</t>
  </si>
  <si>
    <t>Tomate por kilo</t>
  </si>
  <si>
    <t>Papas por kilo</t>
  </si>
  <si>
    <t>Queso por kilo</t>
  </si>
  <si>
    <t>Cantidad</t>
  </si>
  <si>
    <t>P333</t>
  </si>
  <si>
    <t>Camisa Polo</t>
  </si>
  <si>
    <t>Camisa individual</t>
  </si>
  <si>
    <t>Renglón Factura</t>
  </si>
  <si>
    <t>(Sale de n:n)</t>
  </si>
  <si>
    <t>Consecutivo</t>
  </si>
  <si>
    <t>(Opcional/demo/primaria)</t>
  </si>
  <si>
    <t>Fecha Nacimiento</t>
  </si>
  <si>
    <t>Q=NULL</t>
  </si>
  <si>
    <t>¿q = NULL?</t>
  </si>
  <si>
    <t>¿q = 0?</t>
  </si>
  <si>
    <t>¿q = " "?</t>
  </si>
  <si>
    <t>¿q = ""?</t>
  </si>
  <si>
    <t>¿q &lt;&gt; NULL?</t>
  </si>
  <si>
    <t>¿q &lt;&gt; 0?</t>
  </si>
  <si>
    <t>¿q &lt;&gt; " "?</t>
  </si>
  <si>
    <t>¿q &lt;&gt; ""?</t>
  </si>
  <si>
    <t>NO sé</t>
  </si>
  <si>
    <t>Sí</t>
  </si>
  <si>
    <t>No</t>
  </si>
  <si>
    <t>¿q IS NULL?</t>
  </si>
  <si>
    <t>¿q IS NOT NULl?</t>
  </si>
  <si>
    <t>&gt;, &lt;=, &gt;=, &lt;&gt;</t>
  </si>
  <si>
    <t>(Heredada - Clave Foránea)</t>
  </si>
  <si>
    <t>X</t>
  </si>
  <si>
    <t>Q=99</t>
  </si>
  <si>
    <t>NO</t>
  </si>
  <si>
    <t>¿?</t>
  </si>
  <si>
    <t>SÍ</t>
  </si>
  <si>
    <t>SÍ/NO</t>
  </si>
  <si>
    <t>Tabla</t>
  </si>
  <si>
    <t>0001, Maurend, Bravo</t>
  </si>
  <si>
    <r>
      <t xml:space="preserve">Seleccionar Cédula, Nombre, Apellido de </t>
    </r>
    <r>
      <rPr>
        <b/>
        <sz val="11"/>
        <color theme="1"/>
        <rFont val="Aptos Narrow"/>
        <family val="2"/>
        <scheme val="minor"/>
      </rPr>
      <t>Persona</t>
    </r>
    <r>
      <rPr>
        <sz val="11"/>
        <color theme="1"/>
        <rFont val="Aptos Narrow"/>
        <family val="2"/>
        <scheme val="minor"/>
      </rPr>
      <t xml:space="preserve"> Si Cédula = 0001</t>
    </r>
  </si>
  <si>
    <t>0001, Maurend, Bravo
0002, Diego, Mayor</t>
  </si>
  <si>
    <r>
      <t xml:space="preserve">Seleccionar Cédula, Nombre, Apellido de </t>
    </r>
    <r>
      <rPr>
        <b/>
        <sz val="11"/>
        <color theme="1"/>
        <rFont val="Aptos Narrow"/>
        <family val="2"/>
        <scheme val="minor"/>
      </rPr>
      <t>Persona</t>
    </r>
    <r>
      <rPr>
        <sz val="11"/>
        <color theme="1"/>
        <rFont val="Aptos Narrow"/>
        <family val="2"/>
        <scheme val="minor"/>
      </rPr>
      <t xml:space="preserve"> Si Cédula = 0001 o Cédula = 0002</t>
    </r>
  </si>
  <si>
    <r>
      <t xml:space="preserve">Seleccionar Cédula, Nombre, Apellido de </t>
    </r>
    <r>
      <rPr>
        <b/>
        <sz val="11"/>
        <color theme="1"/>
        <rFont val="Aptos Narrow"/>
        <family val="2"/>
        <scheme val="minor"/>
      </rPr>
      <t>Persona</t>
    </r>
    <r>
      <rPr>
        <sz val="11"/>
        <color theme="1"/>
        <rFont val="Aptos Narrow"/>
        <family val="2"/>
        <scheme val="minor"/>
      </rPr>
      <t xml:space="preserve"> Si Cédula &lt;&gt; 0004</t>
    </r>
  </si>
  <si>
    <t>Traerá todos menos a Águeda</t>
  </si>
  <si>
    <t>&lt;</t>
  </si>
  <si>
    <t>NO TRAE NADA NO HAY CÉD=3 EN FACTURA</t>
  </si>
  <si>
    <t>&gt;</t>
  </si>
  <si>
    <t>Águeda, Cortés, 686</t>
  </si>
  <si>
    <t>Meurend, Bravo, 234
Meurend, Bravo, 521
Águeda, Cortés, 686</t>
  </si>
  <si>
    <r>
      <t xml:space="preserve">Seleccionar p.nombre, p.apellido, f.factura de </t>
    </r>
    <r>
      <rPr>
        <b/>
        <sz val="11"/>
        <color theme="1"/>
        <rFont val="Aptos Narrow"/>
        <family val="2"/>
        <scheme val="minor"/>
      </rPr>
      <t>Persona COMO p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factura COMO f</t>
    </r>
    <r>
      <rPr>
        <sz val="11"/>
        <color theme="1"/>
        <rFont val="Aptos Narrow"/>
        <family val="2"/>
        <scheme val="minor"/>
      </rPr>
      <t xml:space="preserve"> si p.cedula = 0004 y p.Cédula = f.cédula</t>
    </r>
  </si>
  <si>
    <r>
      <t xml:space="preserve">Seleccionar p.nombre, p.apellido, f.factura de </t>
    </r>
    <r>
      <rPr>
        <b/>
        <sz val="11"/>
        <color theme="1"/>
        <rFont val="Aptos Narrow"/>
        <family val="2"/>
        <scheme val="minor"/>
      </rPr>
      <t>Persona COMO p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factura COMO f</t>
    </r>
    <r>
      <rPr>
        <sz val="11"/>
        <color theme="1"/>
        <rFont val="Aptos Narrow"/>
        <family val="2"/>
        <scheme val="minor"/>
      </rPr>
      <t xml:space="preserve"> si p.cedula = 0003 y p.Cédula = f.cédula</t>
    </r>
  </si>
  <si>
    <r>
      <t xml:space="preserve">Seleccionar p.nombre, p.apellido, f.factura de </t>
    </r>
    <r>
      <rPr>
        <b/>
        <sz val="11"/>
        <color theme="1"/>
        <rFont val="Aptos Narrow"/>
        <family val="2"/>
        <scheme val="minor"/>
      </rPr>
      <t>Persona COMO p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factura COMO f</t>
    </r>
    <r>
      <rPr>
        <sz val="11"/>
        <color theme="1"/>
        <rFont val="Aptos Narrow"/>
        <family val="2"/>
        <scheme val="minor"/>
      </rPr>
      <t xml:space="preserve"> si p.cedula IN (0001, 0004) y p.Cédula = f.cédula</t>
    </r>
  </si>
  <si>
    <t>P</t>
  </si>
  <si>
    <t>F</t>
  </si>
  <si>
    <t>R</t>
  </si>
  <si>
    <t>D</t>
  </si>
  <si>
    <t>Entidad/Relación</t>
  </si>
  <si>
    <t>Diseño básico, nos da la idea de lo que debemos hacer</t>
  </si>
  <si>
    <t>Relacional</t>
  </si>
  <si>
    <t>Más ajustado a la realidad, más detallado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</si>
</sst>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trike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4" borderId="8" xfId="0" applyFont="1" applyFill="1" applyBorder="1"/>
    <xf numFmtId="0" fontId="0" fillId="4" borderId="9" xfId="0" applyFill="1" applyBorder="1"/>
    <xf numFmtId="0" fontId="2" fillId="5" borderId="9" xfId="0" applyFont="1" applyFill="1" applyBorder="1"/>
    <xf numFmtId="0" fontId="0" fillId="5" borderId="9" xfId="0" applyFill="1" applyBorder="1"/>
    <xf numFmtId="0" fontId="2" fillId="6" borderId="9" xfId="0" applyFont="1" applyFill="1" applyBorder="1"/>
    <xf numFmtId="0" fontId="0" fillId="6" borderId="9" xfId="0" applyFill="1" applyBorder="1"/>
    <xf numFmtId="0" fontId="2" fillId="6" borderId="2" xfId="0" applyFont="1" applyFill="1" applyBorder="1"/>
    <xf numFmtId="0" fontId="2" fillId="6" borderId="5" xfId="0" applyFont="1" applyFill="1" applyBorder="1"/>
    <xf numFmtId="0" fontId="0" fillId="7" borderId="0" xfId="0" applyFill="1"/>
    <xf numFmtId="0" fontId="2" fillId="7" borderId="9" xfId="0" applyFont="1" applyFill="1" applyBorder="1"/>
    <xf numFmtId="0" fontId="0" fillId="7" borderId="9" xfId="0" applyFill="1" applyBorder="1"/>
    <xf numFmtId="0" fontId="2" fillId="4" borderId="1" xfId="0" applyFont="1" applyFill="1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7" borderId="1" xfId="0" applyFont="1" applyFill="1" applyBorder="1"/>
    <xf numFmtId="0" fontId="2" fillId="6" borderId="1" xfId="0" applyFont="1" applyFill="1" applyBorder="1"/>
    <xf numFmtId="14" fontId="0" fillId="0" borderId="1" xfId="0" applyNumberFormat="1" applyBorder="1"/>
    <xf numFmtId="164" fontId="0" fillId="0" borderId="1" xfId="0" applyNumberFormat="1" applyBorder="1"/>
    <xf numFmtId="164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/>
    <xf numFmtId="0" fontId="2" fillId="5" borderId="1" xfId="0" applyFont="1" applyFill="1" applyBorder="1"/>
    <xf numFmtId="0" fontId="0" fillId="0" borderId="1" xfId="0" applyBorder="1"/>
    <xf numFmtId="43" fontId="0" fillId="0" borderId="1" xfId="1" applyFont="1" applyBorder="1"/>
    <xf numFmtId="0" fontId="2" fillId="8" borderId="1" xfId="0" applyFont="1" applyFill="1" applyBorder="1"/>
    <xf numFmtId="0" fontId="2" fillId="8" borderId="8" xfId="0" applyFont="1" applyFill="1" applyBorder="1"/>
    <xf numFmtId="0" fontId="2" fillId="8" borderId="10" xfId="0" applyFont="1" applyFill="1" applyBorder="1"/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8" borderId="2" xfId="0" applyFont="1" applyFill="1" applyBorder="1"/>
    <xf numFmtId="0" fontId="2" fillId="8" borderId="5" xfId="0" applyFont="1" applyFill="1" applyBorder="1"/>
    <xf numFmtId="0" fontId="2" fillId="8" borderId="0" xfId="0" applyFont="1" applyFill="1"/>
    <xf numFmtId="0" fontId="2" fillId="5" borderId="8" xfId="0" applyFont="1" applyFill="1" applyBorder="1"/>
    <xf numFmtId="0" fontId="0" fillId="9" borderId="0" xfId="0" applyFill="1"/>
    <xf numFmtId="0" fontId="2" fillId="9" borderId="0" xfId="0" applyFont="1" applyFill="1"/>
    <xf numFmtId="0" fontId="2" fillId="8" borderId="7" xfId="0" applyFont="1" applyFill="1" applyBorder="1"/>
    <xf numFmtId="15" fontId="0" fillId="0" borderId="1" xfId="0" applyNumberFormat="1" applyBorder="1"/>
    <xf numFmtId="0" fontId="4" fillId="10" borderId="0" xfId="0" applyFont="1" applyFill="1"/>
    <xf numFmtId="164" fontId="5" fillId="0" borderId="1" xfId="0" applyNumberFormat="1" applyFont="1" applyBorder="1" applyAlignment="1">
      <alignment horizontal="right"/>
    </xf>
    <xf numFmtId="14" fontId="5" fillId="0" borderId="1" xfId="0" applyNumberFormat="1" applyFont="1" applyBorder="1"/>
    <xf numFmtId="0" fontId="0" fillId="0" borderId="9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164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C30D-EFC8-40F9-8327-47FF95502C8A}">
  <dimension ref="A1:P58"/>
  <sheetViews>
    <sheetView tabSelected="1" topLeftCell="K9" zoomScale="145" zoomScaleNormal="145" workbookViewId="0">
      <selection activeCell="N21" sqref="N21"/>
    </sheetView>
  </sheetViews>
  <sheetFormatPr defaultRowHeight="14.4" x14ac:dyDescent="0.3"/>
  <cols>
    <col min="1" max="1" width="14.44140625" bestFit="1" customWidth="1"/>
    <col min="2" max="2" width="15.77734375" bestFit="1" customWidth="1"/>
    <col min="3" max="3" width="23.5546875" bestFit="1" customWidth="1"/>
    <col min="5" max="5" width="12.21875" bestFit="1" customWidth="1"/>
    <col min="6" max="6" width="9" bestFit="1" customWidth="1"/>
    <col min="7" max="7" width="14.33203125" bestFit="1" customWidth="1"/>
    <col min="8" max="8" width="8.21875" bestFit="1" customWidth="1"/>
    <col min="9" max="9" width="11.109375" bestFit="1" customWidth="1"/>
    <col min="10" max="11" width="16.21875" bestFit="1" customWidth="1"/>
    <col min="12" max="12" width="17.44140625" customWidth="1"/>
    <col min="13" max="13" width="12" customWidth="1"/>
    <col min="14" max="14" width="15.44140625" bestFit="1" customWidth="1"/>
    <col min="15" max="15" width="8.6640625" bestFit="1" customWidth="1"/>
    <col min="16" max="16" width="11.109375" bestFit="1" customWidth="1"/>
  </cols>
  <sheetData>
    <row r="1" spans="1:16" ht="15" thickBot="1" x14ac:dyDescent="0.35">
      <c r="A1" s="5" t="s">
        <v>0</v>
      </c>
      <c r="B1" s="12" t="s">
        <v>1</v>
      </c>
      <c r="E1" s="1" t="s">
        <v>13</v>
      </c>
      <c r="F1" s="1" t="s">
        <v>3</v>
      </c>
      <c r="G1" s="1" t="s">
        <v>3</v>
      </c>
      <c r="H1" s="1" t="s">
        <v>14</v>
      </c>
    </row>
    <row r="2" spans="1:16" x14ac:dyDescent="0.3">
      <c r="B2" s="13" t="s">
        <v>2</v>
      </c>
      <c r="E2" s="18" t="s">
        <v>0</v>
      </c>
      <c r="F2" s="8">
        <v>1</v>
      </c>
      <c r="G2" s="8">
        <v>1</v>
      </c>
      <c r="H2" s="39">
        <v>1</v>
      </c>
      <c r="I2" s="41" t="s">
        <v>16</v>
      </c>
      <c r="J2" s="42" t="s">
        <v>17</v>
      </c>
      <c r="K2" s="43" t="s">
        <v>20</v>
      </c>
    </row>
    <row r="3" spans="1:16" ht="15" thickBot="1" x14ac:dyDescent="0.35">
      <c r="B3" s="13" t="s">
        <v>5</v>
      </c>
      <c r="E3" s="19" t="s">
        <v>6</v>
      </c>
      <c r="F3" s="10" t="s">
        <v>15</v>
      </c>
      <c r="G3" s="10">
        <v>1</v>
      </c>
      <c r="H3" s="40" t="s">
        <v>15</v>
      </c>
      <c r="I3" s="44" t="s">
        <v>18</v>
      </c>
      <c r="J3" s="45" t="s">
        <v>19</v>
      </c>
      <c r="K3" s="46" t="s">
        <v>21</v>
      </c>
    </row>
    <row r="4" spans="1:16" x14ac:dyDescent="0.3">
      <c r="B4" s="13" t="s">
        <v>3</v>
      </c>
      <c r="E4" s="1"/>
      <c r="F4" s="3"/>
      <c r="G4" s="3"/>
      <c r="H4" s="4"/>
    </row>
    <row r="5" spans="1:16" x14ac:dyDescent="0.3">
      <c r="B5" s="13" t="s">
        <v>4</v>
      </c>
      <c r="E5" s="47" t="s">
        <v>8</v>
      </c>
      <c r="F5" s="8">
        <v>1</v>
      </c>
      <c r="G5" s="8" t="s">
        <v>15</v>
      </c>
      <c r="H5" s="9" t="s">
        <v>15</v>
      </c>
      <c r="J5" s="28" t="s">
        <v>12</v>
      </c>
      <c r="K5" s="28" t="s">
        <v>12</v>
      </c>
      <c r="L5" s="28" t="s">
        <v>3</v>
      </c>
      <c r="M5" s="28" t="s">
        <v>2</v>
      </c>
    </row>
    <row r="6" spans="1:16" x14ac:dyDescent="0.3">
      <c r="B6" s="13" t="s">
        <v>63</v>
      </c>
      <c r="E6" s="48" t="s">
        <v>6</v>
      </c>
      <c r="F6" s="10" t="s">
        <v>15</v>
      </c>
      <c r="G6" s="10">
        <v>1</v>
      </c>
      <c r="H6" s="11" t="s">
        <v>15</v>
      </c>
      <c r="K6" s="24">
        <v>99</v>
      </c>
      <c r="L6" s="34" t="s">
        <v>37</v>
      </c>
      <c r="M6" s="34" t="s">
        <v>34</v>
      </c>
    </row>
    <row r="7" spans="1:16" x14ac:dyDescent="0.3">
      <c r="A7" s="20" t="s">
        <v>6</v>
      </c>
      <c r="B7" s="21" t="s">
        <v>6</v>
      </c>
      <c r="E7" s="1"/>
      <c r="F7" s="3"/>
      <c r="G7" s="3"/>
      <c r="H7" s="4"/>
      <c r="K7" s="24">
        <v>98</v>
      </c>
      <c r="L7" s="34" t="s">
        <v>38</v>
      </c>
      <c r="M7" s="34" t="s">
        <v>35</v>
      </c>
    </row>
    <row r="8" spans="1:16" x14ac:dyDescent="0.3">
      <c r="B8" s="22" t="s">
        <v>7</v>
      </c>
      <c r="E8" s="18" t="s">
        <v>12</v>
      </c>
      <c r="F8" s="8">
        <v>1</v>
      </c>
      <c r="G8" s="8">
        <v>1</v>
      </c>
      <c r="H8" s="9">
        <v>1</v>
      </c>
      <c r="K8" s="24">
        <v>67</v>
      </c>
      <c r="L8" s="34" t="s">
        <v>39</v>
      </c>
      <c r="M8" s="34" t="s">
        <v>36</v>
      </c>
    </row>
    <row r="9" spans="1:16" x14ac:dyDescent="0.3">
      <c r="B9" s="23" t="s">
        <v>1</v>
      </c>
      <c r="C9" t="s">
        <v>79</v>
      </c>
      <c r="E9" s="19" t="s">
        <v>6</v>
      </c>
      <c r="F9" s="10" t="s">
        <v>15</v>
      </c>
      <c r="G9" s="10">
        <v>1</v>
      </c>
      <c r="H9" s="11" t="s">
        <v>15</v>
      </c>
    </row>
    <row r="10" spans="1:16" x14ac:dyDescent="0.3">
      <c r="B10" s="28" t="s">
        <v>12</v>
      </c>
      <c r="C10" t="s">
        <v>79</v>
      </c>
      <c r="F10" s="2"/>
      <c r="G10" s="2"/>
      <c r="H10" s="2"/>
    </row>
    <row r="11" spans="1:16" x14ac:dyDescent="0.3">
      <c r="A11" s="6" t="s">
        <v>8</v>
      </c>
      <c r="B11" s="14" t="s">
        <v>8</v>
      </c>
      <c r="F11" s="2"/>
      <c r="G11" s="2"/>
      <c r="H11" s="2"/>
    </row>
    <row r="12" spans="1:16" x14ac:dyDescent="0.3">
      <c r="B12" s="15" t="s">
        <v>2</v>
      </c>
      <c r="E12" s="23" t="s">
        <v>0</v>
      </c>
      <c r="F12" s="23" t="s">
        <v>33</v>
      </c>
      <c r="G12" s="23" t="s">
        <v>2</v>
      </c>
      <c r="H12" s="23" t="s">
        <v>5</v>
      </c>
      <c r="I12" s="23" t="s">
        <v>3</v>
      </c>
      <c r="J12" s="23" t="s">
        <v>4</v>
      </c>
      <c r="K12" s="23" t="str">
        <f>B6</f>
        <v>Fecha Nacimiento</v>
      </c>
      <c r="L12" s="37" t="s">
        <v>59</v>
      </c>
      <c r="M12" s="33" t="str">
        <f>B11</f>
        <v>Producto</v>
      </c>
      <c r="N12" s="27" t="str">
        <f>B7</f>
        <v>Factura</v>
      </c>
      <c r="O12" s="36" t="s">
        <v>55</v>
      </c>
      <c r="P12" s="52" t="s">
        <v>61</v>
      </c>
    </row>
    <row r="13" spans="1:16" x14ac:dyDescent="0.3">
      <c r="B13" s="15" t="s">
        <v>9</v>
      </c>
      <c r="E13" t="s">
        <v>101</v>
      </c>
      <c r="F13" s="24">
        <v>1</v>
      </c>
      <c r="G13" s="25" t="s">
        <v>22</v>
      </c>
      <c r="H13" s="25" t="s">
        <v>26</v>
      </c>
      <c r="I13" s="25" t="s">
        <v>30</v>
      </c>
      <c r="J13" s="26">
        <f>F13+1000</f>
        <v>1001</v>
      </c>
      <c r="K13" s="54">
        <v>38867</v>
      </c>
      <c r="L13" s="53" t="s">
        <v>41</v>
      </c>
      <c r="M13" s="34" t="str">
        <f>L21</f>
        <v>P001</v>
      </c>
      <c r="N13" s="30">
        <f>F19</f>
        <v>234</v>
      </c>
      <c r="O13" s="35">
        <v>2.5</v>
      </c>
      <c r="P13" s="51">
        <v>1</v>
      </c>
    </row>
    <row r="14" spans="1:16" x14ac:dyDescent="0.3">
      <c r="B14" s="15" t="s">
        <v>10</v>
      </c>
      <c r="F14" s="24">
        <v>2</v>
      </c>
      <c r="G14" s="25" t="s">
        <v>23</v>
      </c>
      <c r="H14" s="25" t="s">
        <v>27</v>
      </c>
      <c r="I14" s="25" t="s">
        <v>31</v>
      </c>
      <c r="J14" s="26">
        <f t="shared" ref="J14:J16" si="0">F14+1000</f>
        <v>1002</v>
      </c>
      <c r="K14" s="54">
        <f>K13+700</f>
        <v>39567</v>
      </c>
      <c r="L14" s="58" t="s">
        <v>103</v>
      </c>
      <c r="M14" s="34" t="str">
        <f>L22</f>
        <v>P099</v>
      </c>
      <c r="N14" s="30">
        <f>N13</f>
        <v>234</v>
      </c>
      <c r="O14" s="35">
        <v>3</v>
      </c>
      <c r="P14" s="51">
        <v>2</v>
      </c>
    </row>
    <row r="15" spans="1:16" x14ac:dyDescent="0.3">
      <c r="B15" s="15" t="s">
        <v>11</v>
      </c>
      <c r="F15" s="24">
        <v>3</v>
      </c>
      <c r="G15" s="25" t="s">
        <v>24</v>
      </c>
      <c r="H15" s="25" t="s">
        <v>28</v>
      </c>
      <c r="I15" s="25" t="s">
        <v>32</v>
      </c>
      <c r="J15" s="26">
        <f t="shared" si="0"/>
        <v>1003</v>
      </c>
      <c r="K15" s="54">
        <f>K13+365</f>
        <v>39232</v>
      </c>
      <c r="L15" s="58"/>
      <c r="M15" s="34" t="str">
        <f>L23</f>
        <v>P055</v>
      </c>
      <c r="N15" s="30">
        <f>F21</f>
        <v>686</v>
      </c>
      <c r="O15" s="35">
        <v>1</v>
      </c>
      <c r="P15" s="51">
        <v>3</v>
      </c>
    </row>
    <row r="16" spans="1:16" x14ac:dyDescent="0.3">
      <c r="A16" s="7" t="s">
        <v>12</v>
      </c>
      <c r="B16" s="16" t="s">
        <v>12</v>
      </c>
      <c r="E16" t="s">
        <v>95</v>
      </c>
      <c r="F16" s="24">
        <v>4</v>
      </c>
      <c r="G16" s="25" t="s">
        <v>25</v>
      </c>
      <c r="H16" s="25" t="s">
        <v>29</v>
      </c>
      <c r="I16" s="25" t="s">
        <v>40</v>
      </c>
      <c r="J16" s="26">
        <f t="shared" si="0"/>
        <v>1004</v>
      </c>
      <c r="K16" s="54">
        <v>39567</v>
      </c>
      <c r="L16" s="58"/>
      <c r="M16" s="34" t="str">
        <f>L24</f>
        <v>P567</v>
      </c>
      <c r="N16" s="30">
        <f>F21</f>
        <v>686</v>
      </c>
      <c r="O16" s="35">
        <v>2</v>
      </c>
      <c r="P16" s="51">
        <v>4</v>
      </c>
    </row>
    <row r="17" spans="1:16" x14ac:dyDescent="0.3">
      <c r="B17" s="17" t="s">
        <v>3</v>
      </c>
      <c r="M17" s="34" t="str">
        <f>L21</f>
        <v>P001</v>
      </c>
      <c r="N17" s="30">
        <f>F21</f>
        <v>686</v>
      </c>
      <c r="O17" s="35">
        <v>3</v>
      </c>
      <c r="P17" s="51">
        <v>5</v>
      </c>
    </row>
    <row r="18" spans="1:16" x14ac:dyDescent="0.3">
      <c r="B18" s="17" t="s">
        <v>2</v>
      </c>
      <c r="E18" s="27" t="s">
        <v>6</v>
      </c>
      <c r="F18" s="27" t="s">
        <v>42</v>
      </c>
      <c r="G18" s="27" t="s">
        <v>7</v>
      </c>
      <c r="H18" s="23" t="s">
        <v>1</v>
      </c>
      <c r="I18" s="28" t="s">
        <v>12</v>
      </c>
      <c r="M18" s="34" t="str">
        <f>L25</f>
        <v>P333</v>
      </c>
      <c r="N18" s="30">
        <f>F20</f>
        <v>521</v>
      </c>
      <c r="O18" s="35">
        <v>2</v>
      </c>
      <c r="P18" s="51">
        <v>6</v>
      </c>
    </row>
    <row r="19" spans="1:16" x14ac:dyDescent="0.3">
      <c r="A19" s="49" t="s">
        <v>59</v>
      </c>
      <c r="B19" s="50" t="str">
        <f>M12</f>
        <v>Producto</v>
      </c>
      <c r="C19" t="s">
        <v>79</v>
      </c>
      <c r="E19" t="s">
        <v>102</v>
      </c>
      <c r="F19" s="24">
        <v>234</v>
      </c>
      <c r="G19" s="29">
        <v>46300</v>
      </c>
      <c r="H19" s="24">
        <f>F13</f>
        <v>1</v>
      </c>
      <c r="I19" s="30">
        <f>K6</f>
        <v>99</v>
      </c>
      <c r="J19" t="s">
        <v>93</v>
      </c>
    </row>
    <row r="20" spans="1:16" x14ac:dyDescent="0.3">
      <c r="A20" t="s">
        <v>60</v>
      </c>
      <c r="B20" s="21" t="str">
        <f>N12</f>
        <v>Factura</v>
      </c>
      <c r="C20" t="s">
        <v>79</v>
      </c>
      <c r="F20" s="24">
        <v>521</v>
      </c>
      <c r="G20" s="29">
        <f>G19+2</f>
        <v>46302</v>
      </c>
      <c r="H20" s="24">
        <f>F13</f>
        <v>1</v>
      </c>
      <c r="I20" s="30">
        <f>K8</f>
        <v>67</v>
      </c>
      <c r="J20" t="s">
        <v>93</v>
      </c>
      <c r="K20" s="33" t="s">
        <v>8</v>
      </c>
      <c r="L20" s="33" t="s">
        <v>8</v>
      </c>
      <c r="M20" s="33" t="s">
        <v>2</v>
      </c>
      <c r="N20" s="33" t="s">
        <v>9</v>
      </c>
      <c r="O20" s="33" t="s">
        <v>10</v>
      </c>
      <c r="P20" s="33" t="s">
        <v>11</v>
      </c>
    </row>
    <row r="21" spans="1:16" x14ac:dyDescent="0.3">
      <c r="B21" s="38" t="str">
        <f>O12</f>
        <v>Cantidad</v>
      </c>
      <c r="F21" s="24">
        <v>686</v>
      </c>
      <c r="G21" s="29">
        <f>G20+2</f>
        <v>46304</v>
      </c>
      <c r="H21" s="24">
        <f>F16</f>
        <v>4</v>
      </c>
      <c r="I21" s="30">
        <f>K8</f>
        <v>67</v>
      </c>
      <c r="J21" t="s">
        <v>93</v>
      </c>
      <c r="K21" t="s">
        <v>104</v>
      </c>
      <c r="L21" s="34" t="s">
        <v>43</v>
      </c>
      <c r="M21" s="34" t="s">
        <v>47</v>
      </c>
      <c r="N21" s="34" t="s">
        <v>51</v>
      </c>
      <c r="O21" s="35">
        <v>1</v>
      </c>
      <c r="P21" s="35">
        <f>O21*1.5</f>
        <v>1.5</v>
      </c>
    </row>
    <row r="22" spans="1:16" x14ac:dyDescent="0.3">
      <c r="B22" s="52" t="s">
        <v>61</v>
      </c>
      <c r="C22" s="52" t="s">
        <v>62</v>
      </c>
      <c r="F22" s="56">
        <v>799</v>
      </c>
      <c r="G22" s="57">
        <f>G21+2</f>
        <v>46306</v>
      </c>
      <c r="H22" s="56">
        <v>99</v>
      </c>
      <c r="I22" s="56">
        <f>K7</f>
        <v>98</v>
      </c>
      <c r="L22" s="34" t="s">
        <v>44</v>
      </c>
      <c r="M22" s="34" t="s">
        <v>48</v>
      </c>
      <c r="N22" s="34" t="s">
        <v>52</v>
      </c>
      <c r="O22" s="35">
        <v>1.03</v>
      </c>
      <c r="P22" s="35">
        <f t="shared" ref="P22:P25" si="1">O22*1.5</f>
        <v>1.5449999999999999</v>
      </c>
    </row>
    <row r="23" spans="1:16" x14ac:dyDescent="0.3">
      <c r="F23" s="24">
        <v>555</v>
      </c>
      <c r="G23" s="29">
        <f>G21</f>
        <v>46304</v>
      </c>
      <c r="H23" s="61"/>
      <c r="I23" s="30">
        <f>I21</f>
        <v>67</v>
      </c>
      <c r="L23" s="34" t="s">
        <v>45</v>
      </c>
      <c r="M23" s="34" t="s">
        <v>49</v>
      </c>
      <c r="N23" s="34" t="s">
        <v>53</v>
      </c>
      <c r="O23" s="35">
        <v>1.8</v>
      </c>
      <c r="P23" s="35">
        <f t="shared" si="1"/>
        <v>2.7</v>
      </c>
    </row>
    <row r="24" spans="1:16" x14ac:dyDescent="0.3">
      <c r="L24" s="34" t="s">
        <v>46</v>
      </c>
      <c r="M24" s="34" t="s">
        <v>50</v>
      </c>
      <c r="N24" s="34" t="s">
        <v>54</v>
      </c>
      <c r="O24" s="35">
        <v>1.99</v>
      </c>
      <c r="P24" s="35">
        <f t="shared" si="1"/>
        <v>2.9849999999999999</v>
      </c>
    </row>
    <row r="25" spans="1:16" x14ac:dyDescent="0.3">
      <c r="L25" s="34" t="s">
        <v>56</v>
      </c>
      <c r="M25" s="34" t="s">
        <v>57</v>
      </c>
      <c r="N25" s="34" t="s">
        <v>58</v>
      </c>
      <c r="O25" s="35">
        <v>3</v>
      </c>
      <c r="P25" s="35">
        <f t="shared" si="1"/>
        <v>4.5</v>
      </c>
    </row>
    <row r="27" spans="1:16" hidden="1" x14ac:dyDescent="0.3">
      <c r="E27" t="s">
        <v>64</v>
      </c>
      <c r="I27" t="s">
        <v>81</v>
      </c>
    </row>
    <row r="28" spans="1:16" hidden="1" x14ac:dyDescent="0.3">
      <c r="E28" t="s">
        <v>65</v>
      </c>
      <c r="F28" t="s">
        <v>73</v>
      </c>
      <c r="G28" s="55" t="s">
        <v>76</v>
      </c>
      <c r="H28" s="55" t="s">
        <v>74</v>
      </c>
      <c r="I28" t="s">
        <v>65</v>
      </c>
      <c r="J28" t="s">
        <v>83</v>
      </c>
      <c r="K28" s="55" t="s">
        <v>76</v>
      </c>
      <c r="L28" s="55" t="s">
        <v>75</v>
      </c>
    </row>
    <row r="29" spans="1:16" hidden="1" x14ac:dyDescent="0.3">
      <c r="E29" t="s">
        <v>66</v>
      </c>
      <c r="F29" t="s">
        <v>73</v>
      </c>
      <c r="G29" s="55" t="s">
        <v>77</v>
      </c>
      <c r="H29" s="55" t="s">
        <v>75</v>
      </c>
      <c r="I29" t="s">
        <v>66</v>
      </c>
      <c r="J29" t="s">
        <v>82</v>
      </c>
      <c r="K29" s="55" t="s">
        <v>77</v>
      </c>
      <c r="L29" s="55" t="s">
        <v>74</v>
      </c>
    </row>
    <row r="30" spans="1:16" hidden="1" x14ac:dyDescent="0.3">
      <c r="E30" t="s">
        <v>67</v>
      </c>
      <c r="F30" t="s">
        <v>73</v>
      </c>
      <c r="I30" t="s">
        <v>67</v>
      </c>
      <c r="J30" t="s">
        <v>82</v>
      </c>
    </row>
    <row r="31" spans="1:16" hidden="1" x14ac:dyDescent="0.3">
      <c r="E31" t="s">
        <v>68</v>
      </c>
      <c r="F31" t="s">
        <v>73</v>
      </c>
      <c r="I31" t="s">
        <v>68</v>
      </c>
      <c r="J31" t="s">
        <v>82</v>
      </c>
    </row>
    <row r="32" spans="1:16" hidden="1" x14ac:dyDescent="0.3">
      <c r="E32" t="s">
        <v>69</v>
      </c>
      <c r="F32" t="s">
        <v>73</v>
      </c>
      <c r="I32" t="s">
        <v>69</v>
      </c>
      <c r="J32" t="s">
        <v>83</v>
      </c>
    </row>
    <row r="33" spans="5:15" hidden="1" x14ac:dyDescent="0.3">
      <c r="E33" t="s">
        <v>70</v>
      </c>
      <c r="F33" t="s">
        <v>73</v>
      </c>
      <c r="I33" t="s">
        <v>70</v>
      </c>
      <c r="J33" t="s">
        <v>84</v>
      </c>
    </row>
    <row r="34" spans="5:15" hidden="1" x14ac:dyDescent="0.3">
      <c r="E34" t="s">
        <v>71</v>
      </c>
      <c r="F34" t="s">
        <v>73</v>
      </c>
      <c r="I34" t="s">
        <v>71</v>
      </c>
      <c r="J34" t="s">
        <v>84</v>
      </c>
    </row>
    <row r="35" spans="5:15" hidden="1" x14ac:dyDescent="0.3">
      <c r="E35" t="s">
        <v>72</v>
      </c>
      <c r="F35" t="s">
        <v>73</v>
      </c>
      <c r="I35" t="s">
        <v>72</v>
      </c>
      <c r="J35" t="s">
        <v>84</v>
      </c>
    </row>
    <row r="36" spans="5:15" hidden="1" x14ac:dyDescent="0.3">
      <c r="E36" t="s">
        <v>78</v>
      </c>
      <c r="F36" t="s">
        <v>73</v>
      </c>
      <c r="I36" t="s">
        <v>78</v>
      </c>
      <c r="J36" t="s">
        <v>85</v>
      </c>
    </row>
    <row r="37" spans="5:15" hidden="1" x14ac:dyDescent="0.3"/>
    <row r="38" spans="5:15" hidden="1" x14ac:dyDescent="0.3">
      <c r="E38" t="s">
        <v>86</v>
      </c>
    </row>
    <row r="39" spans="5:15" hidden="1" x14ac:dyDescent="0.3">
      <c r="E39" s="23" t="s">
        <v>33</v>
      </c>
      <c r="F39" s="23" t="s">
        <v>2</v>
      </c>
      <c r="G39" s="23" t="s">
        <v>5</v>
      </c>
      <c r="H39" s="23" t="s">
        <v>3</v>
      </c>
      <c r="I39" s="23" t="s">
        <v>4</v>
      </c>
      <c r="J39" s="23" t="s">
        <v>63</v>
      </c>
      <c r="K39" s="27" t="s">
        <v>42</v>
      </c>
      <c r="L39" s="27" t="s">
        <v>7</v>
      </c>
      <c r="M39" s="23" t="s">
        <v>1</v>
      </c>
      <c r="N39" s="28" t="s">
        <v>12</v>
      </c>
    </row>
    <row r="40" spans="5:15" hidden="1" x14ac:dyDescent="0.3">
      <c r="E40" s="24">
        <v>1</v>
      </c>
      <c r="F40" s="25" t="s">
        <v>22</v>
      </c>
      <c r="G40" s="25" t="s">
        <v>26</v>
      </c>
      <c r="H40" s="25" t="s">
        <v>30</v>
      </c>
      <c r="I40" s="26">
        <v>1001</v>
      </c>
      <c r="J40" s="54">
        <v>38867</v>
      </c>
      <c r="K40" s="24">
        <v>234</v>
      </c>
      <c r="L40" s="29">
        <v>46300</v>
      </c>
      <c r="M40" s="24">
        <v>1</v>
      </c>
      <c r="N40" s="30">
        <v>99</v>
      </c>
      <c r="O40" t="s">
        <v>80</v>
      </c>
    </row>
    <row r="41" spans="5:15" hidden="1" x14ac:dyDescent="0.3">
      <c r="E41" s="24">
        <v>1</v>
      </c>
      <c r="F41" s="25" t="s">
        <v>22</v>
      </c>
      <c r="G41" s="25" t="s">
        <v>26</v>
      </c>
      <c r="H41" s="25" t="s">
        <v>30</v>
      </c>
      <c r="I41" s="26">
        <v>1001</v>
      </c>
      <c r="J41" s="54">
        <v>38867</v>
      </c>
      <c r="K41" s="24">
        <v>521</v>
      </c>
      <c r="L41" s="29">
        <v>46302</v>
      </c>
      <c r="M41" s="24">
        <v>1</v>
      </c>
      <c r="N41" s="30">
        <v>67</v>
      </c>
      <c r="O41" t="s">
        <v>80</v>
      </c>
    </row>
    <row r="42" spans="5:15" hidden="1" x14ac:dyDescent="0.3">
      <c r="E42" s="24">
        <v>1</v>
      </c>
      <c r="F42" s="25" t="s">
        <v>22</v>
      </c>
      <c r="G42" s="25" t="s">
        <v>26</v>
      </c>
      <c r="H42" s="25" t="s">
        <v>30</v>
      </c>
      <c r="I42" s="26">
        <v>1001</v>
      </c>
      <c r="J42" s="54">
        <v>38867</v>
      </c>
      <c r="K42" s="24">
        <v>686</v>
      </c>
      <c r="L42" s="29">
        <v>46304</v>
      </c>
      <c r="M42" s="24">
        <v>4</v>
      </c>
      <c r="N42" s="30">
        <v>67</v>
      </c>
    </row>
    <row r="43" spans="5:15" hidden="1" x14ac:dyDescent="0.3">
      <c r="E43" s="24">
        <v>1</v>
      </c>
      <c r="F43" s="25" t="s">
        <v>22</v>
      </c>
      <c r="G43" s="25" t="s">
        <v>26</v>
      </c>
      <c r="H43" s="25" t="s">
        <v>30</v>
      </c>
      <c r="I43" s="26">
        <v>1001</v>
      </c>
      <c r="J43" s="54">
        <v>38867</v>
      </c>
      <c r="K43" s="31">
        <v>799</v>
      </c>
      <c r="L43" s="32">
        <v>46306</v>
      </c>
      <c r="M43" s="31">
        <v>99</v>
      </c>
      <c r="N43" s="31">
        <v>98</v>
      </c>
    </row>
    <row r="44" spans="5:15" hidden="1" x14ac:dyDescent="0.3">
      <c r="E44" s="24">
        <v>1</v>
      </c>
      <c r="F44" s="25" t="s">
        <v>22</v>
      </c>
      <c r="G44" s="25" t="s">
        <v>26</v>
      </c>
      <c r="H44" s="25" t="s">
        <v>30</v>
      </c>
      <c r="I44" s="26">
        <v>1001</v>
      </c>
      <c r="J44" s="54">
        <v>38867</v>
      </c>
      <c r="K44" s="24">
        <v>555</v>
      </c>
      <c r="L44" s="29">
        <v>46304</v>
      </c>
      <c r="M44" s="24"/>
      <c r="N44" s="30">
        <v>67</v>
      </c>
    </row>
    <row r="47" spans="5:15" x14ac:dyDescent="0.3">
      <c r="E47" s="62" t="s">
        <v>88</v>
      </c>
      <c r="F47" s="62"/>
      <c r="G47" s="62"/>
      <c r="H47" s="62"/>
      <c r="I47" s="62"/>
      <c r="J47" s="62"/>
      <c r="K47" s="62"/>
      <c r="L47" s="62"/>
      <c r="M47" s="59" t="s">
        <v>87</v>
      </c>
    </row>
    <row r="48" spans="5:15" ht="72" x14ac:dyDescent="0.3">
      <c r="E48" s="62" t="s">
        <v>90</v>
      </c>
      <c r="F48" s="62"/>
      <c r="G48" s="62"/>
      <c r="H48" s="62"/>
      <c r="I48" s="62"/>
      <c r="J48" s="62"/>
      <c r="K48" s="62"/>
      <c r="L48" s="62"/>
      <c r="M48" s="60" t="s">
        <v>89</v>
      </c>
    </row>
    <row r="49" spans="1:13" x14ac:dyDescent="0.3">
      <c r="E49" s="62" t="s">
        <v>91</v>
      </c>
      <c r="F49" s="62"/>
      <c r="G49" s="62"/>
      <c r="H49" s="62"/>
      <c r="I49" s="62"/>
      <c r="J49" s="62"/>
      <c r="K49" s="62"/>
      <c r="L49" s="62"/>
      <c r="M49" s="59" t="s">
        <v>92</v>
      </c>
    </row>
    <row r="50" spans="1:13" x14ac:dyDescent="0.3">
      <c r="E50" s="62" t="s">
        <v>98</v>
      </c>
      <c r="F50" s="62"/>
      <c r="G50" s="62"/>
      <c r="H50" s="62"/>
      <c r="I50" s="62"/>
      <c r="J50" s="62"/>
      <c r="K50" s="62"/>
      <c r="L50" s="62"/>
      <c r="M50" s="59" t="s">
        <v>96</v>
      </c>
    </row>
    <row r="51" spans="1:13" x14ac:dyDescent="0.3">
      <c r="E51" s="62" t="s">
        <v>99</v>
      </c>
      <c r="F51" s="62"/>
      <c r="G51" s="62"/>
      <c r="H51" s="62"/>
      <c r="I51" s="62"/>
      <c r="J51" s="62"/>
      <c r="K51" s="62"/>
      <c r="L51" s="62"/>
      <c r="M51" s="59" t="s">
        <v>94</v>
      </c>
    </row>
    <row r="52" spans="1:13" ht="86.4" x14ac:dyDescent="0.3">
      <c r="E52" s="62" t="s">
        <v>100</v>
      </c>
      <c r="F52" s="62"/>
      <c r="G52" s="62"/>
      <c r="H52" s="62"/>
      <c r="I52" s="62"/>
      <c r="J52" s="62"/>
      <c r="K52" s="62"/>
      <c r="L52" s="62"/>
      <c r="M52" s="60" t="s">
        <v>97</v>
      </c>
    </row>
    <row r="57" spans="1:13" x14ac:dyDescent="0.3">
      <c r="A57" t="s">
        <v>105</v>
      </c>
      <c r="B57" t="s">
        <v>106</v>
      </c>
    </row>
    <row r="58" spans="1:13" x14ac:dyDescent="0.3">
      <c r="A58" t="s">
        <v>107</v>
      </c>
      <c r="B58" t="s">
        <v>108</v>
      </c>
    </row>
  </sheetData>
  <mergeCells count="6">
    <mergeCell ref="E52:L52"/>
    <mergeCell ref="E47:L47"/>
    <mergeCell ref="E48:L48"/>
    <mergeCell ref="E49:L49"/>
    <mergeCell ref="E50:L50"/>
    <mergeCell ref="E51:L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Olinto Rodríguez-Atencio</dc:creator>
  <cp:lastModifiedBy>Olinto Rodríguez-Atencio</cp:lastModifiedBy>
  <dcterms:created xsi:type="dcterms:W3CDTF">2026-05-23T13:30:50Z</dcterms:created>
  <dcterms:modified xsi:type="dcterms:W3CDTF">2026-06-14T01:18:12Z</dcterms:modified>
</cp:coreProperties>
</file>